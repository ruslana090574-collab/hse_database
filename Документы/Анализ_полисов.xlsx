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Параметры" sheetId="1" state="visible" r:id="rId3"/>
    <sheet name="Полисы" sheetId="2" state="visible" r:id="rId4"/>
    <sheet name="Услуги_полисов" sheetId="3" state="visible" r:id="rId5"/>
    <sheet name="Агенты" sheetId="4" state="visible" r:id="rId6"/>
    <sheet name="Итоги" sheetId="5" state="visible" r:id="rId7"/>
    <sheet name="БД_Источник" sheetId="6" state="visible" r:id="rId8"/>
  </sheets>
  <definedNames>
    <definedName function="false" hidden="true" localSheetId="1" name="_xlnm._FilterDatabase" vbProcedure="false">Полисы!$A$1:$N$14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<sst xmlns="http://schemas.openxmlformats.org/spreadsheetml/2006/main" count="349" uniqueCount="134">
  <si>
    <t xml:space="preserve">Параметр</t>
  </si>
  <si>
    <t xml:space="preserve">Значение</t>
  </si>
  <si>
    <t xml:space="preserve">Начало периода</t>
  </si>
  <si>
    <t xml:space="preserve">Конец периода</t>
  </si>
  <si>
    <t xml:space="preserve">Источник данных</t>
  </si>
  <si>
    <t xml:space="preserve">HSE_INSURANCE / 09_Расчёт_стоимости_полисов</t>
  </si>
  <si>
    <t xml:space="preserve">Обновление</t>
  </si>
  <si>
    <t xml:space="preserve">Зарегистрируйте ODB как HSE_INSURANCE, затем Данные → Обновить диапазон.</t>
  </si>
  <si>
    <t xml:space="preserve">Данные</t>
  </si>
  <si>
    <t xml:space="preserve">Учебные, вымышленные. Курсы не являются актуальными котировками ЦБ.</t>
  </si>
  <si>
    <t xml:space="preserve">Номер полиса</t>
  </si>
  <si>
    <t xml:space="preserve">Дата оформления</t>
  </si>
  <si>
    <t xml:space="preserve">ФИО клиента</t>
  </si>
  <si>
    <t xml:space="preserve">Наименование страны</t>
  </si>
  <si>
    <t xml:space="preserve">Покрытие полиса</t>
  </si>
  <si>
    <t xml:space="preserve">Валюта</t>
  </si>
  <si>
    <t xml:space="preserve">Дней</t>
  </si>
  <si>
    <t xml:space="preserve">Услуги в день</t>
  </si>
  <si>
    <t xml:space="preserve">Коэффициент полиса</t>
  </si>
  <si>
    <t xml:space="preserve">Стоимость полиса</t>
  </si>
  <si>
    <t xml:space="preserve">Покрытие в рублях</t>
  </si>
  <si>
    <t xml:space="preserve">Код агента</t>
  </si>
  <si>
    <t xml:space="preserve">ФИО агента</t>
  </si>
  <si>
    <t xml:space="preserve">Номер договора</t>
  </si>
  <si>
    <t xml:space="preserve">Код услуги</t>
  </si>
  <si>
    <t xml:space="preserve">Наименование услуги</t>
  </si>
  <si>
    <t xml:space="preserve">Наименование категории</t>
  </si>
  <si>
    <t xml:space="preserve">Дата тарифа</t>
  </si>
  <si>
    <t xml:space="preserve">Цена услуги</t>
  </si>
  <si>
    <t xml:space="preserve">1</t>
  </si>
  <si>
    <t xml:space="preserve">001</t>
  </si>
  <si>
    <t xml:space="preserve">Неотложная помощь при заболевании</t>
  </si>
  <si>
    <t xml:space="preserve">Экстренная помощь</t>
  </si>
  <si>
    <t xml:space="preserve">2025-01-01</t>
  </si>
  <si>
    <t xml:space="preserve">10.00</t>
  </si>
  <si>
    <t xml:space="preserve">002</t>
  </si>
  <si>
    <t xml:space="preserve">Стоматологическая помощь</t>
  </si>
  <si>
    <t xml:space="preserve">5.00</t>
  </si>
  <si>
    <t xml:space="preserve">2</t>
  </si>
  <si>
    <t xml:space="preserve">003</t>
  </si>
  <si>
    <t xml:space="preserve">Помощь при травмах</t>
  </si>
  <si>
    <t xml:space="preserve">8.00</t>
  </si>
  <si>
    <t xml:space="preserve">004</t>
  </si>
  <si>
    <t xml:space="preserve">Медицинская транспортировка</t>
  </si>
  <si>
    <t xml:space="preserve">Транспортировка</t>
  </si>
  <si>
    <t xml:space="preserve">7.00</t>
  </si>
  <si>
    <t xml:space="preserve">3</t>
  </si>
  <si>
    <t xml:space="preserve">4</t>
  </si>
  <si>
    <t xml:space="preserve">005</t>
  </si>
  <si>
    <t xml:space="preserve">Возвращение к месту проживания</t>
  </si>
  <si>
    <t xml:space="preserve">4.00</t>
  </si>
  <si>
    <t xml:space="preserve">5</t>
  </si>
  <si>
    <t xml:space="preserve">6</t>
  </si>
  <si>
    <t xml:space="preserve">2026-01-01</t>
  </si>
  <si>
    <t xml:space="preserve">12.00</t>
  </si>
  <si>
    <t xml:space="preserve">7</t>
  </si>
  <si>
    <t xml:space="preserve">9.00</t>
  </si>
  <si>
    <t xml:space="preserve">8</t>
  </si>
  <si>
    <t xml:space="preserve">6.00</t>
  </si>
  <si>
    <t xml:space="preserve">9</t>
  </si>
  <si>
    <t xml:space="preserve">006</t>
  </si>
  <si>
    <t xml:space="preserve">Помощь при занятиях спортом</t>
  </si>
  <si>
    <t xml:space="preserve">Дополнительная защита</t>
  </si>
  <si>
    <t xml:space="preserve">10</t>
  </si>
  <si>
    <t xml:space="preserve">11</t>
  </si>
  <si>
    <t xml:space="preserve">12</t>
  </si>
  <si>
    <t xml:space="preserve">13</t>
  </si>
  <si>
    <t xml:space="preserve">Число полисов</t>
  </si>
  <si>
    <t xml:space="preserve">Выручка, руб.</t>
  </si>
  <si>
    <t xml:space="preserve">Средний полис, руб.</t>
  </si>
  <si>
    <t xml:space="preserve">Комиссия, %</t>
  </si>
  <si>
    <t xml:space="preserve">Комиссия, руб.</t>
  </si>
  <si>
    <t xml:space="preserve">Лидер</t>
  </si>
  <si>
    <t xml:space="preserve">Иванова Елена Павловна</t>
  </si>
  <si>
    <t xml:space="preserve">Соколов Андрей Игоревич</t>
  </si>
  <si>
    <t xml:space="preserve">Петрова Марина Олеговна</t>
  </si>
  <si>
    <t xml:space="preserve">Козлов Илья Сергеевич</t>
  </si>
  <si>
    <t xml:space="preserve">Показатель</t>
  </si>
  <si>
    <t xml:space="preserve">Полисов за период</t>
  </si>
  <si>
    <t xml:space="preserve">Выручка за период, руб.</t>
  </si>
  <si>
    <t xml:space="preserve">Средняя стоимость, руб.</t>
  </si>
  <si>
    <t xml:space="preserve">Комиссия агентам, руб.</t>
  </si>
  <si>
    <t xml:space="preserve">Полисов всего</t>
  </si>
  <si>
    <t xml:space="preserve">Полисов прошлого года</t>
  </si>
  <si>
    <t xml:space="preserve">PolicyID</t>
  </si>
  <si>
    <t xml:space="preserve">IssuedOn</t>
  </si>
  <si>
    <t xml:space="preserve">StartsOn</t>
  </si>
  <si>
    <t xml:space="preserve">EndsOn</t>
  </si>
  <si>
    <t xml:space="preserve">PassportNo</t>
  </si>
  <si>
    <t xml:space="preserve">FullName</t>
  </si>
  <si>
    <t xml:space="preserve">BirthDate</t>
  </si>
  <si>
    <t xml:space="preserve">Gender</t>
  </si>
  <si>
    <t xml:space="preserve">CountryName</t>
  </si>
  <si>
    <t xml:space="preserve">PolicyCoverage</t>
  </si>
  <si>
    <t xml:space="preserve">CurrencyLabel</t>
  </si>
  <si>
    <t xml:space="preserve">PolicyFactor</t>
  </si>
  <si>
    <t xml:space="preserve">PolicyRate</t>
  </si>
  <si>
    <t xml:space="preserve">RateDate</t>
  </si>
  <si>
    <t xml:space="preserve">Days</t>
  </si>
  <si>
    <t xml:space="preserve">DailyServicesRUB</t>
  </si>
  <si>
    <t xml:space="preserve">PremiumRUB</t>
  </si>
  <si>
    <t xml:space="preserve">CoverageRUB</t>
  </si>
  <si>
    <t xml:space="preserve">AgentID</t>
  </si>
  <si>
    <t xml:space="preserve">AgentName</t>
  </si>
  <si>
    <t xml:space="preserve">ContractNo</t>
  </si>
  <si>
    <t xml:space="preserve">CommissionPct</t>
  </si>
  <si>
    <t xml:space="preserve">710000001                           </t>
  </si>
  <si>
    <t xml:space="preserve">IVANOV IVAN IVANOVICH</t>
  </si>
  <si>
    <t xml:space="preserve">M   </t>
  </si>
  <si>
    <t xml:space="preserve">Германия</t>
  </si>
  <si>
    <t xml:space="preserve">EUR         </t>
  </si>
  <si>
    <t xml:space="preserve">AG-01</t>
  </si>
  <si>
    <t xml:space="preserve">Франция</t>
  </si>
  <si>
    <t xml:space="preserve">AG-02</t>
  </si>
  <si>
    <t xml:space="preserve">710000002                           </t>
  </si>
  <si>
    <t xml:space="preserve">PETROVA ANNA SERGEEVNA</t>
  </si>
  <si>
    <t xml:space="preserve">F   </t>
  </si>
  <si>
    <t xml:space="preserve">США</t>
  </si>
  <si>
    <t xml:space="preserve">USD         </t>
  </si>
  <si>
    <t xml:space="preserve">710000006                           </t>
  </si>
  <si>
    <t xml:space="preserve">VOLKOVA MARIA IGOREVNA</t>
  </si>
  <si>
    <t xml:space="preserve">Китай</t>
  </si>
  <si>
    <t xml:space="preserve">CNY         </t>
  </si>
  <si>
    <t xml:space="preserve">AG-03</t>
  </si>
  <si>
    <t xml:space="preserve">710000008                           </t>
  </si>
  <si>
    <t xml:space="preserve">MOROZOVA ELENA OLEGOVNA</t>
  </si>
  <si>
    <t xml:space="preserve">710000003                           </t>
  </si>
  <si>
    <t xml:space="preserve">SIDOROV PAVEL OLEGOVICH</t>
  </si>
  <si>
    <t xml:space="preserve">710000004                           </t>
  </si>
  <si>
    <t xml:space="preserve">SMIRNOVA OLGA PETROVNA</t>
  </si>
  <si>
    <t xml:space="preserve">Австралия</t>
  </si>
  <si>
    <t xml:space="preserve">AUD         </t>
  </si>
  <si>
    <t xml:space="preserve">710000005                           </t>
  </si>
  <si>
    <t xml:space="preserve">KUZNETSOV EGOR IVANOVICH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</si>
</sst>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.mm\.yyyy"/>
    <numFmt numFmtId="166" formatCode="#,##0.00"/>
    <numFmt numFmtId="167" formatCode="mm/dd/yy"/>
    <numFmt numFmtId="168" formatCode="@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Количество полисов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Агенты!C1</c:f>
              <c:strCache>
                <c:ptCount val="1"/>
                <c:pt idx="0">
                  <c:v>Число полисов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Агенты!$B$2:$B$5</c:f>
              <c:strCache>
                <c:ptCount val="4"/>
                <c:pt idx="0">
                  <c:v>Иванова Елена Павловна</c:v>
                </c:pt>
                <c:pt idx="1">
                  <c:v>Соколов Андрей Игоревич</c:v>
                </c:pt>
                <c:pt idx="2">
                  <c:v>Петрова Марина Олеговна</c:v>
                </c:pt>
                <c:pt idx="3">
                  <c:v>Козлов Илья Сергеевич</c:v>
                </c:pt>
              </c:strCache>
            </c:strRef>
          </c:cat>
          <c:val>
            <c:numRef>
              <c:f>Агенты!$C$2:$C$5</c:f>
              <c:numCache>
                <c:formatCode>General</c:formatCode>
                <c:ptCount val="4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53565500"/>
        <c:axId val="99739108"/>
      </c:barChart>
      <c:catAx>
        <c:axId val="535655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739108"/>
        <c:crosses val="autoZero"/>
        <c:auto val="1"/>
        <c:lblAlgn val="ctr"/>
        <c:lblOffset val="100"/>
        <c:noMultiLvlLbl val="0"/>
      </c:catAx>
      <c:valAx>
        <c:axId val="997391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Количество полисов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35655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Выручка за период, руб.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Агенты!D1</c:f>
              <c:strCache>
                <c:ptCount val="1"/>
                <c:pt idx="0">
                  <c:v>Выручка, руб.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Агенты!$B$2:$B$5</c:f>
              <c:strCache>
                <c:ptCount val="4"/>
                <c:pt idx="0">
                  <c:v>Иванова Елена Павловна</c:v>
                </c:pt>
                <c:pt idx="1">
                  <c:v>Соколов Андрей Игоревич</c:v>
                </c:pt>
                <c:pt idx="2">
                  <c:v>Петрова Марина Олеговна</c:v>
                </c:pt>
                <c:pt idx="3">
                  <c:v>Козлов Илья Сергеевич</c:v>
                </c:pt>
              </c:strCache>
            </c:strRef>
          </c:cat>
          <c:val>
            <c:numRef>
              <c:f>Агенты!$D$2:$D$5</c:f>
              <c:numCache>
                <c:formatCode>#,##0.00</c:formatCode>
                <c:ptCount val="4"/>
                <c:pt idx="0">
                  <c:v>850</c:v>
                </c:pt>
                <c:pt idx="1">
                  <c:v>1163.2</c:v>
                </c:pt>
                <c:pt idx="2">
                  <c:v>625.8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40078851"/>
        <c:axId val="67413774"/>
      </c:barChart>
      <c:catAx>
        <c:axId val="400788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7413774"/>
        <c:crosses val="autoZero"/>
        <c:auto val="1"/>
        <c:lblAlgn val="ctr"/>
        <c:lblOffset val="100"/>
        <c:noMultiLvlLbl val="0"/>
      </c:catAx>
      <c:valAx>
        <c:axId val="674137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Выручка за период, руб.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00788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0</xdr:rowOff>
    </xdr:from>
    <xdr:to>
      <xdr:col>4</xdr:col>
      <xdr:colOff>1518840</xdr:colOff>
      <xdr:row>22</xdr:row>
      <xdr:rowOff>21960</xdr:rowOff>
    </xdr:to>
    <xdr:graphicFrame>
      <xdr:nvGraphicFramePr>
        <xdr:cNvPr id="0" name="Chart 1"/>
        <xdr:cNvGraphicFramePr/>
      </xdr:nvGraphicFramePr>
      <xdr:xfrm>
        <a:off x="0" y="154296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23</xdr:row>
      <xdr:rowOff>0</xdr:rowOff>
    </xdr:from>
    <xdr:to>
      <xdr:col>4</xdr:col>
      <xdr:colOff>1518840</xdr:colOff>
      <xdr:row>38</xdr:row>
      <xdr:rowOff>22320</xdr:rowOff>
    </xdr:to>
    <xdr:graphicFrame>
      <xdr:nvGraphicFramePr>
        <xdr:cNvPr id="1" name="Chart 2"/>
        <xdr:cNvGraphicFramePr/>
      </xdr:nvGraphicFramePr>
      <xdr:xfrm>
        <a:off x="0" y="459108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PolicyData" displayName="PolicyData" ref="A1:N14" headerRowCount="1" totalsRowCount="0" totalsRowShown="0">
  <autoFilter ref="A1:N14"/>
  <tableColumns count="14">
    <tableColumn id="1" name="Номер полиса"/>
    <tableColumn id="2" name="Дата оформления"/>
    <tableColumn id="3" name="ФИО клиента"/>
    <tableColumn id="4" name="Наименование страны"/>
    <tableColumn id="5" name="Покрытие полиса"/>
    <tableColumn id="6" name="Валюта"/>
    <tableColumn id="7" name="Дней"/>
    <tableColumn id="8" name="Услуги в день"/>
    <tableColumn id="9" name="Коэффициент полиса"/>
    <tableColumn id="10" name="Стоимость полиса"/>
    <tableColumn id="11" name="Покрытие в рублях"/>
    <tableColumn id="12" name="Код агента"/>
    <tableColumn id="13" name="ФИО агента"/>
    <tableColumn id="14" name="Номер договора"/>
  </tableColumns>
</table>
</file>

<file path=xl/tables/table2.xml><?xml version="1.0" encoding="utf-8"?>
<table xmlns="http://schemas.openxmlformats.org/spreadsheetml/2006/main" id="2" name="ПолисыИзБазы" displayName="ПолисыИзБазы" ref="A1:V14" headerRowCount="1" totalsRowCount="0" totalsRowShown="0">
  <tableColumns count="22">
    <tableColumn id="1" name="PolicyID"/>
    <tableColumn id="2" name="IssuedOn"/>
    <tableColumn id="3" name="StartsOn"/>
    <tableColumn id="4" name="EndsOn"/>
    <tableColumn id="5" name="PassportNo"/>
    <tableColumn id="6" name="FullName"/>
    <tableColumn id="7" name="BirthDate"/>
    <tableColumn id="8" name="Gender"/>
    <tableColumn id="9" name="CountryName"/>
    <tableColumn id="10" name="PolicyCoverage"/>
    <tableColumn id="11" name="CurrencyLabel"/>
    <tableColumn id="12" name="PolicyFactor"/>
    <tableColumn id="13" name="PolicyRate"/>
    <tableColumn id="14" name="RateDate"/>
    <tableColumn id="15" name="Days"/>
    <tableColumn id="16" name="DailyServicesRUB"/>
    <tableColumn id="17" name="PremiumRUB"/>
    <tableColumn id="18" name="CoverageRUB"/>
    <tableColumn id="19" name="AgentID"/>
    <tableColumn id="20" name="AgentName"/>
    <tableColumn id="21" name="ContractNo"/>
    <tableColumn id="22" name="CommissionPc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7421875" defaultRowHeight="15" customHeight="tru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6"/>
  </cols>
  <sheetData>
    <row r="1" customFormat="false" ht="31.5" hidden="false" customHeight="tru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3" t="n">
        <v>46023</v>
      </c>
    </row>
    <row r="3" customFormat="false" ht="15" hidden="false" customHeight="false" outlineLevel="0" collapsed="false">
      <c r="A3" s="2" t="s">
        <v>3</v>
      </c>
      <c r="B3" s="3" t="n">
        <v>46387</v>
      </c>
    </row>
    <row r="4" customFormat="false" ht="15" hidden="false" customHeight="false" outlineLevel="0" collapsed="false">
      <c r="A4" s="2" t="s">
        <v>4</v>
      </c>
      <c r="B4" s="2" t="s">
        <v>5</v>
      </c>
    </row>
    <row r="5" customFormat="false" ht="15" hidden="false" customHeight="false" outlineLevel="0" collapsed="false">
      <c r="A5" s="2" t="s">
        <v>6</v>
      </c>
      <c r="B5" s="2" t="s">
        <v>7</v>
      </c>
    </row>
    <row r="6" customFormat="false" ht="15" hidden="false" customHeight="false" outlineLevel="0" collapsed="false">
      <c r="A6" s="2" t="s">
        <v>8</v>
      </c>
      <c r="B6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7421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7"/>
    <col collapsed="false" customWidth="true" hidden="false" outlineLevel="0" max="3" min="3" style="0" width="26"/>
    <col collapsed="false" customWidth="true" hidden="false" outlineLevel="0" max="4" min="4" style="0" width="21"/>
    <col collapsed="false" customWidth="true" hidden="false" outlineLevel="0" max="5" min="5" style="0" width="17"/>
    <col collapsed="false" customWidth="true" hidden="false" outlineLevel="0" max="7" min="6" style="0" width="14"/>
    <col collapsed="false" customWidth="true" hidden="false" outlineLevel="0" max="8" min="8" style="0" width="15"/>
    <col collapsed="false" customWidth="true" hidden="false" outlineLevel="0" max="9" min="9" style="0" width="20"/>
    <col collapsed="false" customWidth="true" hidden="false" outlineLevel="0" max="10" min="10" style="0" width="18"/>
    <col collapsed="false" customWidth="true" hidden="false" outlineLevel="0" max="11" min="11" style="0" width="19"/>
    <col collapsed="false" customWidth="true" hidden="false" outlineLevel="0" max="12" min="12" style="0" width="14"/>
    <col collapsed="false" customWidth="true" hidden="false" outlineLevel="0" max="13" min="13" style="0" width="25"/>
    <col collapsed="false" customWidth="true" hidden="false" outlineLevel="0" max="14" min="14" style="0" width="16"/>
  </cols>
  <sheetData>
    <row r="1" customFormat="false" ht="31.5" hidden="false" customHeight="true" outlineLevel="0" collapsed="false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</row>
    <row r="2" customFormat="false" ht="15" hidden="false" customHeight="false" outlineLevel="0" collapsed="false">
      <c r="A2" s="2" t="n">
        <f aca="false">БД_Источник!A2</f>
        <v>1</v>
      </c>
      <c r="B2" s="3" t="n">
        <f aca="false">БД_Источник!B2</f>
        <v>45698</v>
      </c>
      <c r="C2" s="2" t="str">
        <f aca="false">БД_Источник!F2</f>
        <v>IVANOV IVAN IVANOVICH</v>
      </c>
      <c r="D2" s="2" t="str">
        <f aca="false">БД_Источник!I2</f>
        <v>Германия</v>
      </c>
      <c r="E2" s="2" t="n">
        <f aca="false">БД_Источник!J2</f>
        <v>30000</v>
      </c>
      <c r="F2" s="2" t="str">
        <f aca="false">БД_Источник!K2</f>
        <v>EUR         </v>
      </c>
      <c r="G2" s="2" t="n">
        <f aca="false">БД_Источник!O2</f>
        <v>7</v>
      </c>
      <c r="H2" s="4" t="n">
        <f aca="false">БД_Источник!P2</f>
        <v>15</v>
      </c>
      <c r="I2" s="4" t="n">
        <f aca="false">БД_Источник!L2</f>
        <v>1.2</v>
      </c>
      <c r="J2" s="4" t="n">
        <f aca="false">БД_Источник!Q2</f>
        <v>126</v>
      </c>
      <c r="K2" s="4" t="n">
        <f aca="false">БД_Источник!R2</f>
        <v>2940000</v>
      </c>
      <c r="L2" s="2" t="n">
        <f aca="false">БД_Источник!S2</f>
        <v>1</v>
      </c>
      <c r="M2" s="2" t="str">
        <f aca="false">БД_Источник!T2</f>
        <v>Иванова Елена Павловна</v>
      </c>
      <c r="N2" s="2" t="str">
        <f aca="false">БД_Источник!U2</f>
        <v>AG-01</v>
      </c>
    </row>
    <row r="3" customFormat="false" ht="15" hidden="false" customHeight="false" outlineLevel="0" collapsed="false">
      <c r="A3" s="2" t="n">
        <f aca="false">БД_Источник!A3</f>
        <v>2</v>
      </c>
      <c r="B3" s="3" t="n">
        <f aca="false">БД_Источник!B3</f>
        <v>45813</v>
      </c>
      <c r="C3" s="2" t="str">
        <f aca="false">БД_Источник!F3</f>
        <v>IVANOV IVAN IVANOVICH</v>
      </c>
      <c r="D3" s="2" t="str">
        <f aca="false">БД_Источник!I3</f>
        <v>Франция</v>
      </c>
      <c r="E3" s="2" t="n">
        <f aca="false">БД_Источник!J3</f>
        <v>50000</v>
      </c>
      <c r="F3" s="2" t="str">
        <f aca="false">БД_Источник!K3</f>
        <v>EUR         </v>
      </c>
      <c r="G3" s="2" t="n">
        <f aca="false">БД_Источник!O3</f>
        <v>10</v>
      </c>
      <c r="H3" s="4" t="n">
        <f aca="false">БД_Источник!P3</f>
        <v>25</v>
      </c>
      <c r="I3" s="4" t="n">
        <f aca="false">БД_Источник!L3</f>
        <v>1.3</v>
      </c>
      <c r="J3" s="4" t="n">
        <f aca="false">БД_Источник!Q3</f>
        <v>325</v>
      </c>
      <c r="K3" s="4" t="n">
        <f aca="false">БД_Источник!R3</f>
        <v>4900000</v>
      </c>
      <c r="L3" s="2" t="n">
        <f aca="false">БД_Источник!S3</f>
        <v>2</v>
      </c>
      <c r="M3" s="2" t="str">
        <f aca="false">БД_Источник!T3</f>
        <v>Соколов Андрей Игоревич</v>
      </c>
      <c r="N3" s="2" t="str">
        <f aca="false">БД_Источник!U3</f>
        <v>AG-02</v>
      </c>
    </row>
    <row r="4" customFormat="false" ht="15" hidden="false" customHeight="false" outlineLevel="0" collapsed="false">
      <c r="A4" s="2" t="n">
        <f aca="false">БД_Источник!A4</f>
        <v>3</v>
      </c>
      <c r="B4" s="3" t="n">
        <f aca="false">БД_Источник!B4</f>
        <v>45884</v>
      </c>
      <c r="C4" s="2" t="str">
        <f aca="false">БД_Источник!F4</f>
        <v>PETROVA ANNA SERGEEVNA</v>
      </c>
      <c r="D4" s="2" t="str">
        <f aca="false">БД_Источник!I4</f>
        <v>США</v>
      </c>
      <c r="E4" s="2" t="n">
        <f aca="false">БД_Источник!J4</f>
        <v>100000</v>
      </c>
      <c r="F4" s="2" t="str">
        <f aca="false">БД_Источник!K4</f>
        <v>USD         </v>
      </c>
      <c r="G4" s="2" t="n">
        <f aca="false">БД_Источник!O4</f>
        <v>14</v>
      </c>
      <c r="H4" s="4" t="n">
        <f aca="false">БД_Источник!P4</f>
        <v>18</v>
      </c>
      <c r="I4" s="4" t="n">
        <f aca="false">БД_Источник!L4</f>
        <v>1.8</v>
      </c>
      <c r="J4" s="4" t="n">
        <f aca="false">БД_Источник!Q4</f>
        <v>453.6</v>
      </c>
      <c r="K4" s="4" t="n">
        <f aca="false">БД_Источник!R4</f>
        <v>9000000</v>
      </c>
      <c r="L4" s="2" t="n">
        <f aca="false">БД_Источник!S4</f>
        <v>1</v>
      </c>
      <c r="M4" s="2" t="str">
        <f aca="false">БД_Источник!T4</f>
        <v>Иванова Елена Павловна</v>
      </c>
      <c r="N4" s="2" t="str">
        <f aca="false">БД_Источник!U4</f>
        <v>AG-01</v>
      </c>
    </row>
    <row r="5" customFormat="false" ht="15" hidden="false" customHeight="false" outlineLevel="0" collapsed="false">
      <c r="A5" s="2" t="n">
        <f aca="false">БД_Источник!A5</f>
        <v>4</v>
      </c>
      <c r="B5" s="3" t="n">
        <f aca="false">БД_Источник!B5</f>
        <v>45901</v>
      </c>
      <c r="C5" s="2" t="str">
        <f aca="false">БД_Источник!F5</f>
        <v>VOLKOVA MARIA IGOREVNA</v>
      </c>
      <c r="D5" s="2" t="str">
        <f aca="false">БД_Источник!I5</f>
        <v>Китай</v>
      </c>
      <c r="E5" s="2" t="n">
        <f aca="false">БД_Источник!J5</f>
        <v>50000</v>
      </c>
      <c r="F5" s="2" t="str">
        <f aca="false">БД_Источник!K5</f>
        <v>CNY         </v>
      </c>
      <c r="G5" s="2" t="n">
        <f aca="false">БД_Источник!O5</f>
        <v>7</v>
      </c>
      <c r="H5" s="4" t="n">
        <f aca="false">БД_Источник!P5</f>
        <v>14</v>
      </c>
      <c r="I5" s="4" t="n">
        <f aca="false">БД_Источник!L5</f>
        <v>1.1</v>
      </c>
      <c r="J5" s="4" t="n">
        <f aca="false">БД_Источник!Q5</f>
        <v>107.8</v>
      </c>
      <c r="K5" s="4" t="n">
        <f aca="false">БД_Источник!R5</f>
        <v>625000</v>
      </c>
      <c r="L5" s="2" t="n">
        <f aca="false">БД_Источник!S5</f>
        <v>3</v>
      </c>
      <c r="M5" s="2" t="str">
        <f aca="false">БД_Источник!T5</f>
        <v>Петрова Марина Олеговна</v>
      </c>
      <c r="N5" s="2" t="str">
        <f aca="false">БД_Источник!U5</f>
        <v>AG-03</v>
      </c>
    </row>
    <row r="6" customFormat="false" ht="15" hidden="false" customHeight="false" outlineLevel="0" collapsed="false">
      <c r="A6" s="2" t="n">
        <f aca="false">БД_Источник!A6</f>
        <v>5</v>
      </c>
      <c r="B6" s="3" t="n">
        <f aca="false">БД_Источник!B6</f>
        <v>45931</v>
      </c>
      <c r="C6" s="2" t="str">
        <f aca="false">БД_Источник!F6</f>
        <v>MOROZOVA ELENA OLEGOVNA</v>
      </c>
      <c r="D6" s="2" t="str">
        <f aca="false">БД_Источник!I6</f>
        <v>Германия</v>
      </c>
      <c r="E6" s="2" t="n">
        <f aca="false">БД_Источник!J6</f>
        <v>30000</v>
      </c>
      <c r="F6" s="2" t="str">
        <f aca="false">БД_Источник!K6</f>
        <v>EUR         </v>
      </c>
      <c r="G6" s="2" t="n">
        <f aca="false">БД_Источник!O6</f>
        <v>7</v>
      </c>
      <c r="H6" s="4" t="n">
        <f aca="false">БД_Источник!P6</f>
        <v>19</v>
      </c>
      <c r="I6" s="4" t="n">
        <f aca="false">БД_Источник!L6</f>
        <v>1.2</v>
      </c>
      <c r="J6" s="4" t="n">
        <f aca="false">БД_Источник!Q6</f>
        <v>159.6</v>
      </c>
      <c r="K6" s="4" t="n">
        <f aca="false">БД_Источник!R6</f>
        <v>2940000</v>
      </c>
      <c r="L6" s="2" t="n">
        <f aca="false">БД_Источник!S6</f>
        <v>2</v>
      </c>
      <c r="M6" s="2" t="str">
        <f aca="false">БД_Источник!T6</f>
        <v>Соколов Андрей Игоревич</v>
      </c>
      <c r="N6" s="2" t="str">
        <f aca="false">БД_Источник!U6</f>
        <v>AG-02</v>
      </c>
    </row>
    <row r="7" customFormat="false" ht="15" hidden="false" customHeight="false" outlineLevel="0" collapsed="false">
      <c r="A7" s="2" t="n">
        <f aca="false">БД_Источник!A7</f>
        <v>6</v>
      </c>
      <c r="B7" s="3" t="n">
        <f aca="false">БД_Источник!B7</f>
        <v>46037</v>
      </c>
      <c r="C7" s="2" t="str">
        <f aca="false">БД_Источник!F7</f>
        <v>IVANOV IVAN IVANOVICH</v>
      </c>
      <c r="D7" s="2" t="str">
        <f aca="false">БД_Источник!I7</f>
        <v>Германия</v>
      </c>
      <c r="E7" s="2" t="n">
        <f aca="false">БД_Источник!J7</f>
        <v>30000</v>
      </c>
      <c r="F7" s="2" t="str">
        <f aca="false">БД_Источник!K7</f>
        <v>EUR         </v>
      </c>
      <c r="G7" s="2" t="n">
        <f aca="false">БД_Источник!O7</f>
        <v>7</v>
      </c>
      <c r="H7" s="4" t="n">
        <f aca="false">БД_Источник!P7</f>
        <v>19</v>
      </c>
      <c r="I7" s="4" t="n">
        <f aca="false">БД_Источник!L7</f>
        <v>1.2</v>
      </c>
      <c r="J7" s="4" t="n">
        <f aca="false">БД_Источник!Q7</f>
        <v>159.6</v>
      </c>
      <c r="K7" s="4" t="n">
        <f aca="false">БД_Источник!R7</f>
        <v>3060000</v>
      </c>
      <c r="L7" s="2" t="n">
        <f aca="false">БД_Источник!S7</f>
        <v>1</v>
      </c>
      <c r="M7" s="2" t="str">
        <f aca="false">БД_Источник!T7</f>
        <v>Иванова Елена Павловна</v>
      </c>
      <c r="N7" s="2" t="str">
        <f aca="false">БД_Источник!U7</f>
        <v>AG-01</v>
      </c>
    </row>
    <row r="8" customFormat="false" ht="15" hidden="false" customHeight="false" outlineLevel="0" collapsed="false">
      <c r="A8" s="2" t="n">
        <f aca="false">БД_Источник!A8</f>
        <v>7</v>
      </c>
      <c r="B8" s="3" t="n">
        <f aca="false">БД_Источник!B8</f>
        <v>46063</v>
      </c>
      <c r="C8" s="2" t="str">
        <f aca="false">БД_Источник!F8</f>
        <v>IVANOV IVAN IVANOVICH</v>
      </c>
      <c r="D8" s="2" t="str">
        <f aca="false">БД_Источник!I8</f>
        <v>США</v>
      </c>
      <c r="E8" s="2" t="n">
        <f aca="false">БД_Источник!J8</f>
        <v>100000</v>
      </c>
      <c r="F8" s="2" t="str">
        <f aca="false">БД_Источник!K8</f>
        <v>USD         </v>
      </c>
      <c r="G8" s="2" t="n">
        <f aca="false">БД_Источник!O8</f>
        <v>14</v>
      </c>
      <c r="H8" s="4" t="n">
        <f aca="false">БД_Источник!P8</f>
        <v>31</v>
      </c>
      <c r="I8" s="4" t="n">
        <f aca="false">БД_Источник!L8</f>
        <v>1.8</v>
      </c>
      <c r="J8" s="4" t="n">
        <f aca="false">БД_Источник!Q8</f>
        <v>781.2</v>
      </c>
      <c r="K8" s="4" t="n">
        <f aca="false">БД_Источник!R8</f>
        <v>9400000</v>
      </c>
      <c r="L8" s="2" t="n">
        <f aca="false">БД_Источник!S8</f>
        <v>2</v>
      </c>
      <c r="M8" s="2" t="str">
        <f aca="false">БД_Источник!T8</f>
        <v>Соколов Андрей Игоревич</v>
      </c>
      <c r="N8" s="2" t="str">
        <f aca="false">БД_Источник!U8</f>
        <v>AG-02</v>
      </c>
    </row>
    <row r="9" customFormat="false" ht="15" hidden="false" customHeight="false" outlineLevel="0" collapsed="false">
      <c r="A9" s="2" t="n">
        <f aca="false">БД_Источник!A9</f>
        <v>8</v>
      </c>
      <c r="B9" s="3" t="n">
        <f aca="false">БД_Источник!B9</f>
        <v>46091</v>
      </c>
      <c r="C9" s="2" t="str">
        <f aca="false">БД_Источник!F9</f>
        <v>PETROVA ANNA SERGEEVNA</v>
      </c>
      <c r="D9" s="2" t="str">
        <f aca="false">БД_Источник!I9</f>
        <v>Франция</v>
      </c>
      <c r="E9" s="2" t="n">
        <f aca="false">БД_Источник!J9</f>
        <v>50000</v>
      </c>
      <c r="F9" s="2" t="str">
        <f aca="false">БД_Источник!K9</f>
        <v>EUR         </v>
      </c>
      <c r="G9" s="2" t="n">
        <f aca="false">БД_Источник!O9</f>
        <v>10</v>
      </c>
      <c r="H9" s="4" t="n">
        <f aca="false">БД_Источник!P9</f>
        <v>25</v>
      </c>
      <c r="I9" s="4" t="n">
        <f aca="false">БД_Источник!L9</f>
        <v>1.3</v>
      </c>
      <c r="J9" s="4" t="n">
        <f aca="false">БД_Источник!Q9</f>
        <v>325</v>
      </c>
      <c r="K9" s="4" t="n">
        <f aca="false">БД_Источник!R9</f>
        <v>5100000</v>
      </c>
      <c r="L9" s="2" t="n">
        <f aca="false">БД_Источник!S9</f>
        <v>1</v>
      </c>
      <c r="M9" s="2" t="str">
        <f aca="false">БД_Источник!T9</f>
        <v>Иванова Елена Павловна</v>
      </c>
      <c r="N9" s="2" t="str">
        <f aca="false">БД_Источник!U9</f>
        <v>AG-01</v>
      </c>
    </row>
    <row r="10" customFormat="false" ht="15" hidden="false" customHeight="false" outlineLevel="0" collapsed="false">
      <c r="A10" s="2" t="n">
        <f aca="false">БД_Источник!A10</f>
        <v>9</v>
      </c>
      <c r="B10" s="3" t="n">
        <f aca="false">БД_Источник!B10</f>
        <v>46117</v>
      </c>
      <c r="C10" s="2" t="str">
        <f aca="false">БД_Источник!F10</f>
        <v>SIDOROV PAVEL OLEGOVICH</v>
      </c>
      <c r="D10" s="2" t="str">
        <f aca="false">БД_Источник!I10</f>
        <v>Китай</v>
      </c>
      <c r="E10" s="2" t="n">
        <f aca="false">БД_Источник!J10</f>
        <v>50000</v>
      </c>
      <c r="F10" s="2" t="str">
        <f aca="false">БД_Источник!K10</f>
        <v>CNY         </v>
      </c>
      <c r="G10" s="2" t="n">
        <f aca="false">БД_Источник!O10</f>
        <v>7</v>
      </c>
      <c r="H10" s="4" t="n">
        <f aca="false">БД_Источник!P10</f>
        <v>20</v>
      </c>
      <c r="I10" s="4" t="n">
        <f aca="false">БД_Источник!L10</f>
        <v>1.1</v>
      </c>
      <c r="J10" s="4" t="n">
        <f aca="false">БД_Источник!Q10</f>
        <v>154</v>
      </c>
      <c r="K10" s="4" t="n">
        <f aca="false">БД_Источник!R10</f>
        <v>660000</v>
      </c>
      <c r="L10" s="2" t="n">
        <f aca="false">БД_Источник!S10</f>
        <v>2</v>
      </c>
      <c r="M10" s="2" t="str">
        <f aca="false">БД_Источник!T10</f>
        <v>Соколов Андрей Игоревич</v>
      </c>
      <c r="N10" s="2" t="str">
        <f aca="false">БД_Источник!U10</f>
        <v>AG-02</v>
      </c>
    </row>
    <row r="11" customFormat="false" ht="15" hidden="false" customHeight="false" outlineLevel="0" collapsed="false">
      <c r="A11" s="2" t="n">
        <f aca="false">БД_Источник!A11</f>
        <v>10</v>
      </c>
      <c r="B11" s="3" t="n">
        <f aca="false">БД_Источник!B11</f>
        <v>46162</v>
      </c>
      <c r="C11" s="2" t="str">
        <f aca="false">БД_Источник!F11</f>
        <v>SMIRNOVA OLGA PETROVNA</v>
      </c>
      <c r="D11" s="2" t="str">
        <f aca="false">БД_Источник!I11</f>
        <v>Австралия</v>
      </c>
      <c r="E11" s="2" t="n">
        <f aca="false">БД_Источник!J11</f>
        <v>100000</v>
      </c>
      <c r="F11" s="2" t="str">
        <f aca="false">БД_Источник!K11</f>
        <v>AUD         </v>
      </c>
      <c r="G11" s="2" t="n">
        <f aca="false">БД_Источник!O11</f>
        <v>14</v>
      </c>
      <c r="H11" s="4" t="n">
        <f aca="false">БД_Источник!P11</f>
        <v>22</v>
      </c>
      <c r="I11" s="4" t="n">
        <f aca="false">БД_Источник!L11</f>
        <v>1.5</v>
      </c>
      <c r="J11" s="4" t="n">
        <f aca="false">БД_Источник!Q11</f>
        <v>462</v>
      </c>
      <c r="K11" s="4" t="n">
        <f aca="false">БД_Источник!R11</f>
        <v>6200000</v>
      </c>
      <c r="L11" s="2" t="n">
        <f aca="false">БД_Источник!S11</f>
        <v>3</v>
      </c>
      <c r="M11" s="2" t="str">
        <f aca="false">БД_Источник!T11</f>
        <v>Петрова Марина Олеговна</v>
      </c>
      <c r="N11" s="2" t="str">
        <f aca="false">БД_Источник!U11</f>
        <v>AG-03</v>
      </c>
    </row>
    <row r="12" customFormat="false" ht="15" hidden="false" customHeight="false" outlineLevel="0" collapsed="false">
      <c r="A12" s="2" t="n">
        <f aca="false">БД_Источник!A12</f>
        <v>11</v>
      </c>
      <c r="B12" s="3" t="n">
        <f aca="false">БД_Источник!B12</f>
        <v>46174</v>
      </c>
      <c r="C12" s="2" t="str">
        <f aca="false">БД_Источник!F12</f>
        <v>KUZNETSOV EGOR IVANOVICH</v>
      </c>
      <c r="D12" s="2" t="str">
        <f aca="false">БД_Источник!I12</f>
        <v>США</v>
      </c>
      <c r="E12" s="2" t="n">
        <f aca="false">БД_Источник!J12</f>
        <v>100000</v>
      </c>
      <c r="F12" s="2" t="str">
        <f aca="false">БД_Источник!K12</f>
        <v>USD         </v>
      </c>
      <c r="G12" s="2" t="n">
        <f aca="false">БД_Источник!O12</f>
        <v>7</v>
      </c>
      <c r="H12" s="4" t="n">
        <f aca="false">БД_Источник!P12</f>
        <v>29</v>
      </c>
      <c r="I12" s="4" t="n">
        <f aca="false">БД_Источник!L12</f>
        <v>1.8</v>
      </c>
      <c r="J12" s="4" t="n">
        <f aca="false">БД_Источник!Q12</f>
        <v>365.4</v>
      </c>
      <c r="K12" s="4" t="n">
        <f aca="false">БД_Источник!R12</f>
        <v>9400000</v>
      </c>
      <c r="L12" s="2" t="n">
        <f aca="false">БД_Источник!S12</f>
        <v>1</v>
      </c>
      <c r="M12" s="2" t="str">
        <f aca="false">БД_Источник!T12</f>
        <v>Иванова Елена Павловна</v>
      </c>
      <c r="N12" s="2" t="str">
        <f aca="false">БД_Источник!U12</f>
        <v>AG-01</v>
      </c>
    </row>
    <row r="13" customFormat="false" ht="15" hidden="false" customHeight="false" outlineLevel="0" collapsed="false">
      <c r="A13" s="2" t="n">
        <f aca="false">БД_Источник!A13</f>
        <v>12</v>
      </c>
      <c r="B13" s="3" t="n">
        <f aca="false">БД_Источник!B13</f>
        <v>46218</v>
      </c>
      <c r="C13" s="2" t="str">
        <f aca="false">БД_Источник!F13</f>
        <v>SIDOROV PAVEL OLEGOVICH</v>
      </c>
      <c r="D13" s="2" t="str">
        <f aca="false">БД_Источник!I13</f>
        <v>Германия</v>
      </c>
      <c r="E13" s="2" t="n">
        <f aca="false">БД_Источник!J13</f>
        <v>30000</v>
      </c>
      <c r="F13" s="2" t="str">
        <f aca="false">БД_Источник!K13</f>
        <v>EUR         </v>
      </c>
      <c r="G13" s="2" t="n">
        <f aca="false">БД_Источник!O13</f>
        <v>10</v>
      </c>
      <c r="H13" s="4" t="n">
        <f aca="false">БД_Источник!P13</f>
        <v>19</v>
      </c>
      <c r="I13" s="4" t="n">
        <f aca="false">БД_Источник!L13</f>
        <v>1.2</v>
      </c>
      <c r="J13" s="4" t="n">
        <f aca="false">БД_Источник!Q13</f>
        <v>228</v>
      </c>
      <c r="K13" s="4" t="n">
        <f aca="false">БД_Источник!R13</f>
        <v>3060000</v>
      </c>
      <c r="L13" s="2" t="n">
        <f aca="false">БД_Источник!S13</f>
        <v>2</v>
      </c>
      <c r="M13" s="2" t="str">
        <f aca="false">БД_Источник!T13</f>
        <v>Соколов Андрей Игоревич</v>
      </c>
      <c r="N13" s="2" t="str">
        <f aca="false">БД_Источник!U13</f>
        <v>AG-02</v>
      </c>
    </row>
    <row r="14" customFormat="false" ht="15" hidden="false" customHeight="false" outlineLevel="0" collapsed="false">
      <c r="A14" s="2" t="n">
        <f aca="false">БД_Источник!A14</f>
        <v>13</v>
      </c>
      <c r="B14" s="3" t="n">
        <f aca="false">БД_Источник!B14</f>
        <v>46239</v>
      </c>
      <c r="C14" s="2" t="str">
        <f aca="false">БД_Источник!F14</f>
        <v>PETROVA ANNA SERGEEVNA</v>
      </c>
      <c r="D14" s="2" t="str">
        <f aca="false">БД_Источник!I14</f>
        <v>Франция</v>
      </c>
      <c r="E14" s="2" t="n">
        <f aca="false">БД_Источник!J14</f>
        <v>50000</v>
      </c>
      <c r="F14" s="2" t="str">
        <f aca="false">БД_Источник!K14</f>
        <v>EUR         </v>
      </c>
      <c r="G14" s="2" t="n">
        <f aca="false">БД_Источник!O14</f>
        <v>7</v>
      </c>
      <c r="H14" s="4" t="n">
        <f aca="false">БД_Источник!P14</f>
        <v>18</v>
      </c>
      <c r="I14" s="4" t="n">
        <f aca="false">БД_Источник!L14</f>
        <v>1.3</v>
      </c>
      <c r="J14" s="4" t="n">
        <f aca="false">БД_Источник!Q14</f>
        <v>163.8</v>
      </c>
      <c r="K14" s="4" t="n">
        <f aca="false">БД_Источник!R14</f>
        <v>5100000</v>
      </c>
      <c r="L14" s="2" t="n">
        <f aca="false">БД_Источник!S14</f>
        <v>3</v>
      </c>
      <c r="M14" s="2" t="str">
        <f aca="false">БД_Источник!T14</f>
        <v>Петрова Марина Олеговна</v>
      </c>
      <c r="N14" s="2" t="str">
        <f aca="false">БД_Источник!U14</f>
        <v>AG-03</v>
      </c>
    </row>
  </sheetData>
  <autoFilter ref="A1:N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7421875" defaultRowHeight="15" customHeight="tru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35"/>
    <col collapsed="false" customWidth="true" hidden="false" outlineLevel="0" max="4" min="4" style="0" width="24"/>
    <col collapsed="false" customWidth="true" hidden="false" outlineLevel="0" max="6" min="5" style="0" width="14"/>
  </cols>
  <sheetData>
    <row r="1" customFormat="false" ht="31.5" hidden="false" customHeight="true" outlineLevel="0" collapsed="false">
      <c r="A1" s="1" t="s">
        <v>10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 customFormat="false" ht="15" hidden="false" customHeight="false" outlineLevel="0" collapsed="false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</row>
    <row r="3" customFormat="false" ht="15" hidden="false" customHeight="false" outlineLevel="0" collapsed="false">
      <c r="A3" s="2" t="s">
        <v>29</v>
      </c>
      <c r="B3" s="2" t="s">
        <v>35</v>
      </c>
      <c r="C3" s="2" t="s">
        <v>36</v>
      </c>
      <c r="D3" s="2" t="s">
        <v>32</v>
      </c>
      <c r="E3" s="2" t="s">
        <v>33</v>
      </c>
      <c r="F3" s="2" t="s">
        <v>37</v>
      </c>
    </row>
    <row r="4" customFormat="false" ht="15" hidden="false" customHeight="false" outlineLevel="0" collapsed="false">
      <c r="A4" s="2" t="s">
        <v>38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</row>
    <row r="5" customFormat="false" ht="15" hidden="false" customHeight="false" outlineLevel="0" collapsed="false">
      <c r="A5" s="2" t="s">
        <v>38</v>
      </c>
      <c r="B5" s="2" t="s">
        <v>39</v>
      </c>
      <c r="C5" s="2" t="s">
        <v>40</v>
      </c>
      <c r="D5" s="2" t="s">
        <v>32</v>
      </c>
      <c r="E5" s="2" t="s">
        <v>33</v>
      </c>
      <c r="F5" s="2" t="s">
        <v>41</v>
      </c>
    </row>
    <row r="6" customFormat="false" ht="15" hidden="false" customHeight="false" outlineLevel="0" collapsed="false">
      <c r="A6" s="2" t="s">
        <v>38</v>
      </c>
      <c r="B6" s="2" t="s">
        <v>42</v>
      </c>
      <c r="C6" s="2" t="s">
        <v>43</v>
      </c>
      <c r="D6" s="2" t="s">
        <v>44</v>
      </c>
      <c r="E6" s="2" t="s">
        <v>33</v>
      </c>
      <c r="F6" s="2" t="s">
        <v>45</v>
      </c>
    </row>
    <row r="7" customFormat="false" ht="15" hidden="false" customHeight="false" outlineLevel="0" collapsed="false">
      <c r="A7" s="2" t="s">
        <v>46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</row>
    <row r="8" customFormat="false" ht="15" hidden="false" customHeight="false" outlineLevel="0" collapsed="false">
      <c r="A8" s="2" t="s">
        <v>46</v>
      </c>
      <c r="B8" s="2" t="s">
        <v>39</v>
      </c>
      <c r="C8" s="2" t="s">
        <v>40</v>
      </c>
      <c r="D8" s="2" t="s">
        <v>32</v>
      </c>
      <c r="E8" s="2" t="s">
        <v>33</v>
      </c>
      <c r="F8" s="2" t="s">
        <v>41</v>
      </c>
    </row>
    <row r="9" customFormat="false" ht="15" hidden="false" customHeight="false" outlineLevel="0" collapsed="false">
      <c r="A9" s="2" t="s">
        <v>47</v>
      </c>
      <c r="B9" s="2" t="s">
        <v>30</v>
      </c>
      <c r="C9" s="2" t="s">
        <v>31</v>
      </c>
      <c r="D9" s="2" t="s">
        <v>32</v>
      </c>
      <c r="E9" s="2" t="s">
        <v>33</v>
      </c>
      <c r="F9" s="2" t="s">
        <v>34</v>
      </c>
    </row>
    <row r="10" customFormat="false" ht="15" hidden="false" customHeight="false" outlineLevel="0" collapsed="false">
      <c r="A10" s="2" t="s">
        <v>47</v>
      </c>
      <c r="B10" s="2" t="s">
        <v>48</v>
      </c>
      <c r="C10" s="2" t="s">
        <v>49</v>
      </c>
      <c r="D10" s="2" t="s">
        <v>44</v>
      </c>
      <c r="E10" s="2" t="s">
        <v>33</v>
      </c>
      <c r="F10" s="2" t="s">
        <v>50</v>
      </c>
    </row>
    <row r="11" customFormat="false" ht="15" hidden="false" customHeight="false" outlineLevel="0" collapsed="false">
      <c r="A11" s="2" t="s">
        <v>51</v>
      </c>
      <c r="B11" s="2" t="s">
        <v>30</v>
      </c>
      <c r="C11" s="2" t="s">
        <v>31</v>
      </c>
      <c r="D11" s="2" t="s">
        <v>32</v>
      </c>
      <c r="E11" s="2" t="s">
        <v>33</v>
      </c>
      <c r="F11" s="2" t="s">
        <v>34</v>
      </c>
    </row>
    <row r="12" customFormat="false" ht="15" hidden="false" customHeight="false" outlineLevel="0" collapsed="false">
      <c r="A12" s="2" t="s">
        <v>51</v>
      </c>
      <c r="B12" s="2" t="s">
        <v>35</v>
      </c>
      <c r="C12" s="2" t="s">
        <v>36</v>
      </c>
      <c r="D12" s="2" t="s">
        <v>32</v>
      </c>
      <c r="E12" s="2" t="s">
        <v>33</v>
      </c>
      <c r="F12" s="2" t="s">
        <v>37</v>
      </c>
    </row>
    <row r="13" customFormat="false" ht="15" hidden="false" customHeight="false" outlineLevel="0" collapsed="false">
      <c r="A13" s="2" t="s">
        <v>51</v>
      </c>
      <c r="B13" s="2" t="s">
        <v>48</v>
      </c>
      <c r="C13" s="2" t="s">
        <v>49</v>
      </c>
      <c r="D13" s="2" t="s">
        <v>44</v>
      </c>
      <c r="E13" s="2" t="s">
        <v>33</v>
      </c>
      <c r="F13" s="2" t="s">
        <v>50</v>
      </c>
    </row>
    <row r="14" customFormat="false" ht="15" hidden="false" customHeight="false" outlineLevel="0" collapsed="false">
      <c r="A14" s="2" t="s">
        <v>52</v>
      </c>
      <c r="B14" s="2" t="s">
        <v>30</v>
      </c>
      <c r="C14" s="2" t="s">
        <v>31</v>
      </c>
      <c r="D14" s="2" t="s">
        <v>32</v>
      </c>
      <c r="E14" s="2" t="s">
        <v>53</v>
      </c>
      <c r="F14" s="2" t="s">
        <v>54</v>
      </c>
    </row>
    <row r="15" customFormat="false" ht="15" hidden="false" customHeight="false" outlineLevel="0" collapsed="false">
      <c r="A15" s="2" t="s">
        <v>52</v>
      </c>
      <c r="B15" s="2" t="s">
        <v>35</v>
      </c>
      <c r="C15" s="2" t="s">
        <v>36</v>
      </c>
      <c r="D15" s="2" t="s">
        <v>32</v>
      </c>
      <c r="E15" s="2" t="s">
        <v>53</v>
      </c>
      <c r="F15" s="2" t="s">
        <v>45</v>
      </c>
    </row>
    <row r="16" customFormat="false" ht="15" hidden="false" customHeight="false" outlineLevel="0" collapsed="false">
      <c r="A16" s="2" t="s">
        <v>55</v>
      </c>
      <c r="B16" s="2" t="s">
        <v>30</v>
      </c>
      <c r="C16" s="2" t="s">
        <v>31</v>
      </c>
      <c r="D16" s="2" t="s">
        <v>32</v>
      </c>
      <c r="E16" s="2" t="s">
        <v>53</v>
      </c>
      <c r="F16" s="2" t="s">
        <v>54</v>
      </c>
    </row>
    <row r="17" customFormat="false" ht="15" hidden="false" customHeight="false" outlineLevel="0" collapsed="false">
      <c r="A17" s="2" t="s">
        <v>55</v>
      </c>
      <c r="B17" s="2" t="s">
        <v>39</v>
      </c>
      <c r="C17" s="2" t="s">
        <v>40</v>
      </c>
      <c r="D17" s="2" t="s">
        <v>32</v>
      </c>
      <c r="E17" s="2" t="s">
        <v>53</v>
      </c>
      <c r="F17" s="2" t="s">
        <v>34</v>
      </c>
    </row>
    <row r="18" customFormat="false" ht="15" hidden="false" customHeight="false" outlineLevel="0" collapsed="false">
      <c r="A18" s="2" t="s">
        <v>55</v>
      </c>
      <c r="B18" s="2" t="s">
        <v>42</v>
      </c>
      <c r="C18" s="2" t="s">
        <v>43</v>
      </c>
      <c r="D18" s="2" t="s">
        <v>44</v>
      </c>
      <c r="E18" s="2" t="s">
        <v>53</v>
      </c>
      <c r="F18" s="2" t="s">
        <v>56</v>
      </c>
    </row>
    <row r="19" customFormat="false" ht="15" hidden="false" customHeight="false" outlineLevel="0" collapsed="false">
      <c r="A19" s="2" t="s">
        <v>57</v>
      </c>
      <c r="B19" s="2" t="s">
        <v>30</v>
      </c>
      <c r="C19" s="2" t="s">
        <v>31</v>
      </c>
      <c r="D19" s="2" t="s">
        <v>32</v>
      </c>
      <c r="E19" s="2" t="s">
        <v>53</v>
      </c>
      <c r="F19" s="2" t="s">
        <v>54</v>
      </c>
    </row>
    <row r="20" customFormat="false" ht="15" hidden="false" customHeight="false" outlineLevel="0" collapsed="false">
      <c r="A20" s="2" t="s">
        <v>57</v>
      </c>
      <c r="B20" s="2" t="s">
        <v>35</v>
      </c>
      <c r="C20" s="2" t="s">
        <v>36</v>
      </c>
      <c r="D20" s="2" t="s">
        <v>32</v>
      </c>
      <c r="E20" s="2" t="s">
        <v>53</v>
      </c>
      <c r="F20" s="2" t="s">
        <v>45</v>
      </c>
    </row>
    <row r="21" customFormat="false" ht="15" hidden="false" customHeight="false" outlineLevel="0" collapsed="false">
      <c r="A21" s="2" t="s">
        <v>57</v>
      </c>
      <c r="B21" s="2" t="s">
        <v>48</v>
      </c>
      <c r="C21" s="2" t="s">
        <v>49</v>
      </c>
      <c r="D21" s="2" t="s">
        <v>44</v>
      </c>
      <c r="E21" s="2" t="s">
        <v>53</v>
      </c>
      <c r="F21" s="2" t="s">
        <v>58</v>
      </c>
    </row>
    <row r="22" customFormat="false" ht="15" hidden="false" customHeight="false" outlineLevel="0" collapsed="false">
      <c r="A22" s="2" t="s">
        <v>59</v>
      </c>
      <c r="B22" s="2" t="s">
        <v>30</v>
      </c>
      <c r="C22" s="2" t="s">
        <v>31</v>
      </c>
      <c r="D22" s="2" t="s">
        <v>32</v>
      </c>
      <c r="E22" s="2" t="s">
        <v>53</v>
      </c>
      <c r="F22" s="2" t="s">
        <v>54</v>
      </c>
    </row>
    <row r="23" customFormat="false" ht="15" hidden="false" customHeight="false" outlineLevel="0" collapsed="false">
      <c r="A23" s="2" t="s">
        <v>59</v>
      </c>
      <c r="B23" s="2" t="s">
        <v>60</v>
      </c>
      <c r="C23" s="2" t="s">
        <v>61</v>
      </c>
      <c r="D23" s="2" t="s">
        <v>62</v>
      </c>
      <c r="E23" s="2" t="s">
        <v>53</v>
      </c>
      <c r="F23" s="2" t="s">
        <v>41</v>
      </c>
    </row>
    <row r="24" customFormat="false" ht="15" hidden="false" customHeight="false" outlineLevel="0" collapsed="false">
      <c r="A24" s="2" t="s">
        <v>63</v>
      </c>
      <c r="B24" s="2" t="s">
        <v>30</v>
      </c>
      <c r="C24" s="2" t="s">
        <v>31</v>
      </c>
      <c r="D24" s="2" t="s">
        <v>32</v>
      </c>
      <c r="E24" s="2" t="s">
        <v>53</v>
      </c>
      <c r="F24" s="2" t="s">
        <v>54</v>
      </c>
    </row>
    <row r="25" customFormat="false" ht="15" hidden="false" customHeight="false" outlineLevel="0" collapsed="false">
      <c r="A25" s="2" t="s">
        <v>63</v>
      </c>
      <c r="B25" s="2" t="s">
        <v>39</v>
      </c>
      <c r="C25" s="2" t="s">
        <v>40</v>
      </c>
      <c r="D25" s="2" t="s">
        <v>32</v>
      </c>
      <c r="E25" s="2" t="s">
        <v>53</v>
      </c>
      <c r="F25" s="2" t="s">
        <v>34</v>
      </c>
    </row>
    <row r="26" customFormat="false" ht="15" hidden="false" customHeight="false" outlineLevel="0" collapsed="false">
      <c r="A26" s="2" t="s">
        <v>64</v>
      </c>
      <c r="B26" s="2" t="s">
        <v>30</v>
      </c>
      <c r="C26" s="2" t="s">
        <v>31</v>
      </c>
      <c r="D26" s="2" t="s">
        <v>32</v>
      </c>
      <c r="E26" s="2" t="s">
        <v>53</v>
      </c>
      <c r="F26" s="2" t="s">
        <v>54</v>
      </c>
    </row>
    <row r="27" customFormat="false" ht="15" hidden="false" customHeight="false" outlineLevel="0" collapsed="false">
      <c r="A27" s="2" t="s">
        <v>64</v>
      </c>
      <c r="B27" s="2" t="s">
        <v>42</v>
      </c>
      <c r="C27" s="2" t="s">
        <v>43</v>
      </c>
      <c r="D27" s="2" t="s">
        <v>44</v>
      </c>
      <c r="E27" s="2" t="s">
        <v>53</v>
      </c>
      <c r="F27" s="2" t="s">
        <v>56</v>
      </c>
    </row>
    <row r="28" customFormat="false" ht="15" hidden="false" customHeight="false" outlineLevel="0" collapsed="false">
      <c r="A28" s="2" t="s">
        <v>64</v>
      </c>
      <c r="B28" s="2" t="s">
        <v>60</v>
      </c>
      <c r="C28" s="2" t="s">
        <v>61</v>
      </c>
      <c r="D28" s="2" t="s">
        <v>62</v>
      </c>
      <c r="E28" s="2" t="s">
        <v>53</v>
      </c>
      <c r="F28" s="2" t="s">
        <v>41</v>
      </c>
    </row>
    <row r="29" customFormat="false" ht="15" hidden="false" customHeight="false" outlineLevel="0" collapsed="false">
      <c r="A29" s="2" t="s">
        <v>65</v>
      </c>
      <c r="B29" s="2" t="s">
        <v>30</v>
      </c>
      <c r="C29" s="2" t="s">
        <v>31</v>
      </c>
      <c r="D29" s="2" t="s">
        <v>32</v>
      </c>
      <c r="E29" s="2" t="s">
        <v>53</v>
      </c>
      <c r="F29" s="2" t="s">
        <v>54</v>
      </c>
    </row>
    <row r="30" customFormat="false" ht="15" hidden="false" customHeight="false" outlineLevel="0" collapsed="false">
      <c r="A30" s="2" t="s">
        <v>65</v>
      </c>
      <c r="B30" s="2" t="s">
        <v>35</v>
      </c>
      <c r="C30" s="2" t="s">
        <v>36</v>
      </c>
      <c r="D30" s="2" t="s">
        <v>32</v>
      </c>
      <c r="E30" s="2" t="s">
        <v>53</v>
      </c>
      <c r="F30" s="2" t="s">
        <v>45</v>
      </c>
    </row>
    <row r="31" customFormat="false" ht="15" hidden="false" customHeight="false" outlineLevel="0" collapsed="false">
      <c r="A31" s="2" t="s">
        <v>66</v>
      </c>
      <c r="B31" s="2" t="s">
        <v>30</v>
      </c>
      <c r="C31" s="2" t="s">
        <v>31</v>
      </c>
      <c r="D31" s="2" t="s">
        <v>32</v>
      </c>
      <c r="E31" s="2" t="s">
        <v>53</v>
      </c>
      <c r="F31" s="2" t="s">
        <v>54</v>
      </c>
    </row>
    <row r="32" customFormat="false" ht="15" hidden="false" customHeight="false" outlineLevel="0" collapsed="false">
      <c r="A32" s="2" t="s">
        <v>66</v>
      </c>
      <c r="B32" s="2" t="s">
        <v>48</v>
      </c>
      <c r="C32" s="2" t="s">
        <v>49</v>
      </c>
      <c r="D32" s="2" t="s">
        <v>44</v>
      </c>
      <c r="E32" s="2" t="s">
        <v>53</v>
      </c>
      <c r="F32" s="2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7421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5"/>
    <col collapsed="false" customWidth="true" hidden="false" outlineLevel="0" max="4" min="3" style="0" width="16"/>
    <col collapsed="false" customWidth="true" hidden="false" outlineLevel="0" max="5" min="5" style="0" width="21"/>
    <col collapsed="false" customWidth="true" hidden="false" outlineLevel="0" max="6" min="6" style="0" width="14"/>
    <col collapsed="false" customWidth="true" hidden="false" outlineLevel="0" max="8" min="7" style="0" width="16"/>
  </cols>
  <sheetData>
    <row r="1" customFormat="false" ht="31.5" hidden="false" customHeight="true" outlineLevel="0" collapsed="false">
      <c r="A1" s="1" t="s">
        <v>21</v>
      </c>
      <c r="B1" s="1" t="s">
        <v>22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</row>
    <row r="2" customFormat="false" ht="15" hidden="false" customHeight="false" outlineLevel="0" collapsed="false">
      <c r="A2" s="2" t="n">
        <v>1</v>
      </c>
      <c r="B2" s="2" t="s">
        <v>73</v>
      </c>
      <c r="C2" s="2" t="n">
        <f aca="false">COUNTIFS(Полисы!$L$2:$L$14,A2,Полисы!$B$2:$B$14,"&gt;="&amp;Параметры!$B$2,Полисы!$B$2:$B$14,"&lt;="&amp;Параметры!$B$3)</f>
        <v>3</v>
      </c>
      <c r="D2" s="4" t="n">
        <f aca="false">SUMIFS(Полисы!$J$2:$J$14,Полисы!$L$2:$L$14,A2,Полисы!$B$2:$B$14,"&gt;="&amp;Параметры!$B$2,Полисы!$B$2:$B$14,"&lt;="&amp;Параметры!$B$3)</f>
        <v>850</v>
      </c>
      <c r="E2" s="4" t="n">
        <f aca="false">IF(C2=0,"Нет продаж",D2/C2)</f>
        <v>283.333333333333</v>
      </c>
      <c r="F2" s="2" t="n">
        <v>9</v>
      </c>
      <c r="G2" s="4" t="n">
        <f aca="false">ROUND(D2*F2/100,2)</f>
        <v>76.5</v>
      </c>
      <c r="H2" s="2" t="str">
        <f aca="false">IF(AND(C2&gt;0,C2=MAX($C$2:$C$5)),"Лидер","")</f>
        <v>Лидер</v>
      </c>
    </row>
    <row r="3" customFormat="false" ht="15" hidden="false" customHeight="false" outlineLevel="0" collapsed="false">
      <c r="A3" s="2" t="n">
        <v>2</v>
      </c>
      <c r="B3" s="2" t="s">
        <v>74</v>
      </c>
      <c r="C3" s="2" t="n">
        <f aca="false">COUNTIFS(Полисы!$L$2:$L$14,A3,Полисы!$B$2:$B$14,"&gt;="&amp;Параметры!$B$2,Полисы!$B$2:$B$14,"&lt;="&amp;Параметры!$B$3)</f>
        <v>3</v>
      </c>
      <c r="D3" s="4" t="n">
        <f aca="false">SUMIFS(Полисы!$J$2:$J$14,Полисы!$L$2:$L$14,A3,Полисы!$B$2:$B$14,"&gt;="&amp;Параметры!$B$2,Полисы!$B$2:$B$14,"&lt;="&amp;Параметры!$B$3)</f>
        <v>1163.2</v>
      </c>
      <c r="E3" s="4" t="n">
        <f aca="false">IF(C3=0,"Нет продаж",D3/C3)</f>
        <v>387.733333333333</v>
      </c>
      <c r="F3" s="2" t="n">
        <v>10</v>
      </c>
      <c r="G3" s="4" t="n">
        <f aca="false">ROUND(D3*F3/100,2)</f>
        <v>116.32</v>
      </c>
      <c r="H3" s="2" t="str">
        <f aca="false">IF(AND(C3&gt;0,C3=MAX($C$2:$C$5)),"Лидер","")</f>
        <v>Лидер</v>
      </c>
    </row>
    <row r="4" customFormat="false" ht="15" hidden="false" customHeight="false" outlineLevel="0" collapsed="false">
      <c r="A4" s="2" t="n">
        <v>3</v>
      </c>
      <c r="B4" s="2" t="s">
        <v>75</v>
      </c>
      <c r="C4" s="2" t="n">
        <f aca="false">COUNTIFS(Полисы!$L$2:$L$14,A4,Полисы!$B$2:$B$14,"&gt;="&amp;Параметры!$B$2,Полисы!$B$2:$B$14,"&lt;="&amp;Параметры!$B$3)</f>
        <v>2</v>
      </c>
      <c r="D4" s="4" t="n">
        <f aca="false">SUMIFS(Полисы!$J$2:$J$14,Полисы!$L$2:$L$14,A4,Полисы!$B$2:$B$14,"&gt;="&amp;Параметры!$B$2,Полисы!$B$2:$B$14,"&lt;="&amp;Параметры!$B$3)</f>
        <v>625.8</v>
      </c>
      <c r="E4" s="4" t="n">
        <f aca="false">IF(C4=0,"Нет продаж",D4/C4)</f>
        <v>312.9</v>
      </c>
      <c r="F4" s="2" t="n">
        <v>11</v>
      </c>
      <c r="G4" s="4" t="n">
        <f aca="false">ROUND(D4*F4/100,2)</f>
        <v>68.84</v>
      </c>
      <c r="H4" s="2" t="str">
        <f aca="false">IF(AND(C4&gt;0,C4=MAX($C$2:$C$5)),"Лидер","")</f>
        <v/>
      </c>
    </row>
    <row r="5" customFormat="false" ht="15" hidden="false" customHeight="false" outlineLevel="0" collapsed="false">
      <c r="A5" s="2" t="n">
        <v>4</v>
      </c>
      <c r="B5" s="2" t="s">
        <v>76</v>
      </c>
      <c r="C5" s="2" t="n">
        <f aca="false">COUNTIFS(Полисы!$L$2:$L$14,A5,Полисы!$B$2:$B$14,"&gt;="&amp;Параметры!$B$2,Полисы!$B$2:$B$14,"&lt;="&amp;Параметры!$B$3)</f>
        <v>0</v>
      </c>
      <c r="D5" s="4" t="n">
        <f aca="false">SUMIFS(Полисы!$J$2:$J$14,Полисы!$L$2:$L$14,A5,Полисы!$B$2:$B$14,"&gt;="&amp;Параметры!$B$2,Полисы!$B$2:$B$14,"&lt;="&amp;Параметры!$B$3)</f>
        <v>0</v>
      </c>
      <c r="E5" s="4" t="str">
        <f aca="false">IF(C5=0,"Нет продаж",D5/C5)</f>
        <v>Нет продаж</v>
      </c>
      <c r="F5" s="2" t="n">
        <v>12</v>
      </c>
      <c r="G5" s="4" t="n">
        <f aca="false">ROUND(D5*F5/100,2)</f>
        <v>0</v>
      </c>
      <c r="H5" s="2" t="str">
        <f aca="false">IF(AND(C5&gt;0,C5=MAX($C$2:$C$5)),"Лидер","")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7421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6"/>
  </cols>
  <sheetData>
    <row r="1" customFormat="false" ht="31.5" hidden="false" customHeight="true" outlineLevel="0" collapsed="false">
      <c r="A1" s="1" t="s">
        <v>77</v>
      </c>
      <c r="B1" s="1" t="s">
        <v>1</v>
      </c>
    </row>
    <row r="2" customFormat="false" ht="15" hidden="false" customHeight="false" outlineLevel="0" collapsed="false">
      <c r="A2" s="2" t="s">
        <v>78</v>
      </c>
      <c r="B2" s="2" t="n">
        <f aca="false">SUM(Агенты!C2:C5)</f>
        <v>8</v>
      </c>
    </row>
    <row r="3" customFormat="false" ht="15" hidden="false" customHeight="false" outlineLevel="0" collapsed="false">
      <c r="A3" s="2" t="s">
        <v>79</v>
      </c>
      <c r="B3" s="4" t="n">
        <f aca="false">SUM(Агенты!D2:D5)</f>
        <v>2639</v>
      </c>
    </row>
    <row r="4" customFormat="false" ht="15" hidden="false" customHeight="false" outlineLevel="0" collapsed="false">
      <c r="A4" s="2" t="s">
        <v>80</v>
      </c>
      <c r="B4" s="4" t="n">
        <f aca="false">IF(B2=0,"Нет полисов",B3/B2)</f>
        <v>329.875</v>
      </c>
    </row>
    <row r="5" customFormat="false" ht="15" hidden="false" customHeight="false" outlineLevel="0" collapsed="false">
      <c r="A5" s="2" t="s">
        <v>81</v>
      </c>
      <c r="B5" s="4" t="n">
        <f aca="false">SUM(Агенты!G2:G5)</f>
        <v>261.66</v>
      </c>
    </row>
    <row r="6" customFormat="false" ht="15" hidden="false" customHeight="false" outlineLevel="0" collapsed="false">
      <c r="A6" s="2" t="s">
        <v>82</v>
      </c>
      <c r="B6" s="2" t="n">
        <v>13</v>
      </c>
    </row>
    <row r="7" customFormat="false" ht="15" hidden="false" customHeight="false" outlineLevel="0" collapsed="false">
      <c r="A7" s="2" t="s">
        <v>83</v>
      </c>
      <c r="B7" s="2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60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84</v>
      </c>
      <c r="B1" s="0" t="s">
        <v>85</v>
      </c>
      <c r="C1" s="0" t="s">
        <v>86</v>
      </c>
      <c r="D1" s="0" t="s">
        <v>87</v>
      </c>
      <c r="E1" s="0" t="s">
        <v>88</v>
      </c>
      <c r="F1" s="0" t="s">
        <v>89</v>
      </c>
      <c r="G1" s="0" t="s">
        <v>90</v>
      </c>
      <c r="H1" s="0" t="s">
        <v>91</v>
      </c>
      <c r="I1" s="0" t="s">
        <v>92</v>
      </c>
      <c r="J1" s="0" t="s">
        <v>93</v>
      </c>
      <c r="K1" s="0" t="s">
        <v>94</v>
      </c>
      <c r="L1" s="0" t="s">
        <v>95</v>
      </c>
      <c r="M1" s="0" t="s">
        <v>96</v>
      </c>
      <c r="N1" s="0" t="s">
        <v>97</v>
      </c>
      <c r="O1" s="0" t="s">
        <v>98</v>
      </c>
      <c r="P1" s="0" t="s">
        <v>99</v>
      </c>
      <c r="Q1" s="0" t="s">
        <v>100</v>
      </c>
      <c r="R1" s="0" t="s">
        <v>101</v>
      </c>
      <c r="S1" s="0" t="s">
        <v>102</v>
      </c>
      <c r="T1" s="0" t="s">
        <v>103</v>
      </c>
      <c r="U1" s="0" t="s">
        <v>104</v>
      </c>
      <c r="V1" s="0" t="s">
        <v>105</v>
      </c>
    </row>
    <row r="2" customFormat="false" ht="12.8" hidden="false" customHeight="false" outlineLevel="0" collapsed="false">
      <c r="A2" s="0" t="n">
        <v>1</v>
      </c>
      <c r="B2" s="5" t="n">
        <v>45698</v>
      </c>
      <c r="C2" s="5" t="n">
        <v>45700</v>
      </c>
      <c r="D2" s="5" t="n">
        <v>45707</v>
      </c>
      <c r="E2" s="6" t="s">
        <v>106</v>
      </c>
      <c r="F2" s="0" t="s">
        <v>107</v>
      </c>
      <c r="G2" s="5" t="n">
        <v>33005</v>
      </c>
      <c r="H2" s="0" t="s">
        <v>108</v>
      </c>
      <c r="I2" s="0" t="s">
        <v>109</v>
      </c>
      <c r="J2" s="0" t="n">
        <v>30000</v>
      </c>
      <c r="K2" s="0" t="s">
        <v>110</v>
      </c>
      <c r="L2" s="0" t="n">
        <v>1.2</v>
      </c>
      <c r="M2" s="0" t="n">
        <v>98</v>
      </c>
      <c r="N2" s="5" t="n">
        <v>45658</v>
      </c>
      <c r="O2" s="0" t="n">
        <v>7</v>
      </c>
      <c r="P2" s="0" t="n">
        <v>15</v>
      </c>
      <c r="Q2" s="0" t="n">
        <v>126</v>
      </c>
      <c r="R2" s="0" t="n">
        <v>2940000</v>
      </c>
      <c r="S2" s="0" t="n">
        <v>1</v>
      </c>
      <c r="T2" s="0" t="s">
        <v>73</v>
      </c>
      <c r="U2" s="0" t="s">
        <v>111</v>
      </c>
      <c r="V2" s="0" t="n">
        <v>9</v>
      </c>
    </row>
    <row r="3" customFormat="false" ht="12.8" hidden="false" customHeight="false" outlineLevel="0" collapsed="false">
      <c r="A3" s="0" t="n">
        <v>2</v>
      </c>
      <c r="B3" s="5" t="n">
        <v>45813</v>
      </c>
      <c r="C3" s="5" t="n">
        <v>45815</v>
      </c>
      <c r="D3" s="5" t="n">
        <v>45825</v>
      </c>
      <c r="E3" s="6" t="s">
        <v>106</v>
      </c>
      <c r="F3" s="0" t="s">
        <v>107</v>
      </c>
      <c r="G3" s="5" t="n">
        <v>33005</v>
      </c>
      <c r="H3" s="0" t="s">
        <v>108</v>
      </c>
      <c r="I3" s="0" t="s">
        <v>112</v>
      </c>
      <c r="J3" s="0" t="n">
        <v>50000</v>
      </c>
      <c r="K3" s="0" t="s">
        <v>110</v>
      </c>
      <c r="L3" s="0" t="n">
        <v>1.3</v>
      </c>
      <c r="M3" s="0" t="n">
        <v>98</v>
      </c>
      <c r="N3" s="5" t="n">
        <v>45658</v>
      </c>
      <c r="O3" s="0" t="n">
        <v>10</v>
      </c>
      <c r="P3" s="0" t="n">
        <v>25</v>
      </c>
      <c r="Q3" s="0" t="n">
        <v>325</v>
      </c>
      <c r="R3" s="0" t="n">
        <v>4900000</v>
      </c>
      <c r="S3" s="0" t="n">
        <v>2</v>
      </c>
      <c r="T3" s="0" t="s">
        <v>74</v>
      </c>
      <c r="U3" s="0" t="s">
        <v>113</v>
      </c>
      <c r="V3" s="0" t="n">
        <v>10</v>
      </c>
    </row>
    <row r="4" customFormat="false" ht="12.8" hidden="false" customHeight="false" outlineLevel="0" collapsed="false">
      <c r="A4" s="0" t="n">
        <v>3</v>
      </c>
      <c r="B4" s="5" t="n">
        <v>45884</v>
      </c>
      <c r="C4" s="5" t="n">
        <v>45886</v>
      </c>
      <c r="D4" s="5" t="n">
        <v>45900</v>
      </c>
      <c r="E4" s="6" t="s">
        <v>114</v>
      </c>
      <c r="F4" s="0" t="s">
        <v>115</v>
      </c>
      <c r="G4" s="5" t="n">
        <v>34567</v>
      </c>
      <c r="H4" s="0" t="s">
        <v>116</v>
      </c>
      <c r="I4" s="0" t="s">
        <v>117</v>
      </c>
      <c r="J4" s="0" t="n">
        <v>100000</v>
      </c>
      <c r="K4" s="0" t="s">
        <v>118</v>
      </c>
      <c r="L4" s="0" t="n">
        <v>1.8</v>
      </c>
      <c r="M4" s="0" t="n">
        <v>90</v>
      </c>
      <c r="N4" s="5" t="n">
        <v>45658</v>
      </c>
      <c r="O4" s="0" t="n">
        <v>14</v>
      </c>
      <c r="P4" s="0" t="n">
        <v>18</v>
      </c>
      <c r="Q4" s="0" t="n">
        <v>453.6</v>
      </c>
      <c r="R4" s="0" t="n">
        <v>9000000</v>
      </c>
      <c r="S4" s="0" t="n">
        <v>1</v>
      </c>
      <c r="T4" s="0" t="s">
        <v>73</v>
      </c>
      <c r="U4" s="0" t="s">
        <v>111</v>
      </c>
      <c r="V4" s="0" t="n">
        <v>9</v>
      </c>
    </row>
    <row r="5" customFormat="false" ht="12.8" hidden="false" customHeight="false" outlineLevel="0" collapsed="false">
      <c r="A5" s="0" t="n">
        <v>4</v>
      </c>
      <c r="B5" s="5" t="n">
        <v>45901</v>
      </c>
      <c r="C5" s="5" t="n">
        <v>45903</v>
      </c>
      <c r="D5" s="5" t="n">
        <v>45910</v>
      </c>
      <c r="E5" s="6" t="s">
        <v>119</v>
      </c>
      <c r="F5" s="0" t="s">
        <v>120</v>
      </c>
      <c r="G5" s="5" t="n">
        <v>35177</v>
      </c>
      <c r="H5" s="0" t="s">
        <v>116</v>
      </c>
      <c r="I5" s="0" t="s">
        <v>121</v>
      </c>
      <c r="J5" s="0" t="n">
        <v>50000</v>
      </c>
      <c r="K5" s="0" t="s">
        <v>122</v>
      </c>
      <c r="L5" s="0" t="n">
        <v>1.1</v>
      </c>
      <c r="M5" s="0" t="n">
        <v>12.5</v>
      </c>
      <c r="N5" s="5" t="n">
        <v>45658</v>
      </c>
      <c r="O5" s="0" t="n">
        <v>7</v>
      </c>
      <c r="P5" s="0" t="n">
        <v>14</v>
      </c>
      <c r="Q5" s="0" t="n">
        <v>107.8</v>
      </c>
      <c r="R5" s="0" t="n">
        <v>625000</v>
      </c>
      <c r="S5" s="0" t="n">
        <v>3</v>
      </c>
      <c r="T5" s="0" t="s">
        <v>75</v>
      </c>
      <c r="U5" s="0" t="s">
        <v>123</v>
      </c>
      <c r="V5" s="0" t="n">
        <v>11</v>
      </c>
    </row>
    <row r="6" customFormat="false" ht="12.8" hidden="false" customHeight="false" outlineLevel="0" collapsed="false">
      <c r="A6" s="0" t="n">
        <v>5</v>
      </c>
      <c r="B6" s="5" t="n">
        <v>45931</v>
      </c>
      <c r="C6" s="5" t="n">
        <v>45933</v>
      </c>
      <c r="D6" s="5" t="n">
        <v>45940</v>
      </c>
      <c r="E6" s="6" t="s">
        <v>124</v>
      </c>
      <c r="F6" s="0" t="s">
        <v>125</v>
      </c>
      <c r="G6" s="5" t="n">
        <v>32768</v>
      </c>
      <c r="H6" s="0" t="s">
        <v>116</v>
      </c>
      <c r="I6" s="0" t="s">
        <v>109</v>
      </c>
      <c r="J6" s="0" t="n">
        <v>30000</v>
      </c>
      <c r="K6" s="0" t="s">
        <v>110</v>
      </c>
      <c r="L6" s="0" t="n">
        <v>1.2</v>
      </c>
      <c r="M6" s="0" t="n">
        <v>98</v>
      </c>
      <c r="N6" s="5" t="n">
        <v>45658</v>
      </c>
      <c r="O6" s="0" t="n">
        <v>7</v>
      </c>
      <c r="P6" s="0" t="n">
        <v>19</v>
      </c>
      <c r="Q6" s="0" t="n">
        <v>159.6</v>
      </c>
      <c r="R6" s="0" t="n">
        <v>2940000</v>
      </c>
      <c r="S6" s="0" t="n">
        <v>2</v>
      </c>
      <c r="T6" s="0" t="s">
        <v>74</v>
      </c>
      <c r="U6" s="0" t="s">
        <v>113</v>
      </c>
      <c r="V6" s="0" t="n">
        <v>10</v>
      </c>
    </row>
    <row r="7" customFormat="false" ht="12.8" hidden="false" customHeight="false" outlineLevel="0" collapsed="false">
      <c r="A7" s="0" t="n">
        <v>6</v>
      </c>
      <c r="B7" s="5" t="n">
        <v>46037</v>
      </c>
      <c r="C7" s="5" t="n">
        <v>46039</v>
      </c>
      <c r="D7" s="5" t="n">
        <v>46046</v>
      </c>
      <c r="E7" s="6" t="s">
        <v>106</v>
      </c>
      <c r="F7" s="0" t="s">
        <v>107</v>
      </c>
      <c r="G7" s="5" t="n">
        <v>33005</v>
      </c>
      <c r="H7" s="0" t="s">
        <v>108</v>
      </c>
      <c r="I7" s="0" t="s">
        <v>109</v>
      </c>
      <c r="J7" s="0" t="n">
        <v>30000</v>
      </c>
      <c r="K7" s="0" t="s">
        <v>110</v>
      </c>
      <c r="L7" s="0" t="n">
        <v>1.2</v>
      </c>
      <c r="M7" s="0" t="n">
        <v>102</v>
      </c>
      <c r="N7" s="5" t="n">
        <v>46023</v>
      </c>
      <c r="O7" s="0" t="n">
        <v>7</v>
      </c>
      <c r="P7" s="0" t="n">
        <v>19</v>
      </c>
      <c r="Q7" s="0" t="n">
        <v>159.6</v>
      </c>
      <c r="R7" s="0" t="n">
        <v>3060000</v>
      </c>
      <c r="S7" s="0" t="n">
        <v>1</v>
      </c>
      <c r="T7" s="0" t="s">
        <v>73</v>
      </c>
      <c r="U7" s="0" t="s">
        <v>111</v>
      </c>
      <c r="V7" s="0" t="n">
        <v>9</v>
      </c>
    </row>
    <row r="8" customFormat="false" ht="12.8" hidden="false" customHeight="false" outlineLevel="0" collapsed="false">
      <c r="A8" s="0" t="n">
        <v>7</v>
      </c>
      <c r="B8" s="5" t="n">
        <v>46063</v>
      </c>
      <c r="C8" s="5" t="n">
        <v>46065</v>
      </c>
      <c r="D8" s="5" t="n">
        <v>46079</v>
      </c>
      <c r="E8" s="6" t="s">
        <v>106</v>
      </c>
      <c r="F8" s="0" t="s">
        <v>107</v>
      </c>
      <c r="G8" s="5" t="n">
        <v>33005</v>
      </c>
      <c r="H8" s="0" t="s">
        <v>108</v>
      </c>
      <c r="I8" s="0" t="s">
        <v>117</v>
      </c>
      <c r="J8" s="0" t="n">
        <v>100000</v>
      </c>
      <c r="K8" s="0" t="s">
        <v>118</v>
      </c>
      <c r="L8" s="0" t="n">
        <v>1.8</v>
      </c>
      <c r="M8" s="0" t="n">
        <v>94</v>
      </c>
      <c r="N8" s="5" t="n">
        <v>46023</v>
      </c>
      <c r="O8" s="0" t="n">
        <v>14</v>
      </c>
      <c r="P8" s="0" t="n">
        <v>31</v>
      </c>
      <c r="Q8" s="0" t="n">
        <v>781.2</v>
      </c>
      <c r="R8" s="0" t="n">
        <v>9400000</v>
      </c>
      <c r="S8" s="0" t="n">
        <v>2</v>
      </c>
      <c r="T8" s="0" t="s">
        <v>74</v>
      </c>
      <c r="U8" s="0" t="s">
        <v>113</v>
      </c>
      <c r="V8" s="0" t="n">
        <v>10</v>
      </c>
    </row>
    <row r="9" customFormat="false" ht="12.8" hidden="false" customHeight="false" outlineLevel="0" collapsed="false">
      <c r="A9" s="0" t="n">
        <v>8</v>
      </c>
      <c r="B9" s="5" t="n">
        <v>46091</v>
      </c>
      <c r="C9" s="5" t="n">
        <v>46093</v>
      </c>
      <c r="D9" s="5" t="n">
        <v>46103</v>
      </c>
      <c r="E9" s="6" t="s">
        <v>114</v>
      </c>
      <c r="F9" s="0" t="s">
        <v>115</v>
      </c>
      <c r="G9" s="5" t="n">
        <v>34567</v>
      </c>
      <c r="H9" s="0" t="s">
        <v>116</v>
      </c>
      <c r="I9" s="0" t="s">
        <v>112</v>
      </c>
      <c r="J9" s="0" t="n">
        <v>50000</v>
      </c>
      <c r="K9" s="0" t="s">
        <v>110</v>
      </c>
      <c r="L9" s="0" t="n">
        <v>1.3</v>
      </c>
      <c r="M9" s="0" t="n">
        <v>102</v>
      </c>
      <c r="N9" s="5" t="n">
        <v>46023</v>
      </c>
      <c r="O9" s="0" t="n">
        <v>10</v>
      </c>
      <c r="P9" s="0" t="n">
        <v>25</v>
      </c>
      <c r="Q9" s="0" t="n">
        <v>325</v>
      </c>
      <c r="R9" s="0" t="n">
        <v>5100000</v>
      </c>
      <c r="S9" s="0" t="n">
        <v>1</v>
      </c>
      <c r="T9" s="0" t="s">
        <v>73</v>
      </c>
      <c r="U9" s="0" t="s">
        <v>111</v>
      </c>
      <c r="V9" s="0" t="n">
        <v>9</v>
      </c>
    </row>
    <row r="10" customFormat="false" ht="12.8" hidden="false" customHeight="false" outlineLevel="0" collapsed="false">
      <c r="A10" s="0" t="n">
        <v>9</v>
      </c>
      <c r="B10" s="5" t="n">
        <v>46117</v>
      </c>
      <c r="C10" s="5" t="n">
        <v>46119</v>
      </c>
      <c r="D10" s="5" t="n">
        <v>46126</v>
      </c>
      <c r="E10" s="6" t="s">
        <v>126</v>
      </c>
      <c r="F10" s="0" t="s">
        <v>127</v>
      </c>
      <c r="G10" s="5" t="n">
        <v>31088</v>
      </c>
      <c r="H10" s="0" t="s">
        <v>108</v>
      </c>
      <c r="I10" s="0" t="s">
        <v>121</v>
      </c>
      <c r="J10" s="0" t="n">
        <v>50000</v>
      </c>
      <c r="K10" s="0" t="s">
        <v>122</v>
      </c>
      <c r="L10" s="0" t="n">
        <v>1.1</v>
      </c>
      <c r="M10" s="0" t="n">
        <v>13.2</v>
      </c>
      <c r="N10" s="5" t="n">
        <v>46023</v>
      </c>
      <c r="O10" s="0" t="n">
        <v>7</v>
      </c>
      <c r="P10" s="0" t="n">
        <v>20</v>
      </c>
      <c r="Q10" s="0" t="n">
        <v>154</v>
      </c>
      <c r="R10" s="0" t="n">
        <v>660000</v>
      </c>
      <c r="S10" s="0" t="n">
        <v>2</v>
      </c>
      <c r="T10" s="0" t="s">
        <v>74</v>
      </c>
      <c r="U10" s="0" t="s">
        <v>113</v>
      </c>
      <c r="V10" s="0" t="n">
        <v>10</v>
      </c>
    </row>
    <row r="11" customFormat="false" ht="12.8" hidden="false" customHeight="false" outlineLevel="0" collapsed="false">
      <c r="A11" s="0" t="n">
        <v>10</v>
      </c>
      <c r="B11" s="5" t="n">
        <v>46162</v>
      </c>
      <c r="C11" s="5" t="n">
        <v>46164</v>
      </c>
      <c r="D11" s="5" t="n">
        <v>46178</v>
      </c>
      <c r="E11" s="6" t="s">
        <v>128</v>
      </c>
      <c r="F11" s="0" t="s">
        <v>129</v>
      </c>
      <c r="G11" s="5" t="n">
        <v>33911</v>
      </c>
      <c r="H11" s="0" t="s">
        <v>116</v>
      </c>
      <c r="I11" s="0" t="s">
        <v>130</v>
      </c>
      <c r="J11" s="0" t="n">
        <v>100000</v>
      </c>
      <c r="K11" s="0" t="s">
        <v>131</v>
      </c>
      <c r="L11" s="0" t="n">
        <v>1.5</v>
      </c>
      <c r="M11" s="0" t="n">
        <v>62</v>
      </c>
      <c r="N11" s="5" t="n">
        <v>46023</v>
      </c>
      <c r="O11" s="0" t="n">
        <v>14</v>
      </c>
      <c r="P11" s="0" t="n">
        <v>22</v>
      </c>
      <c r="Q11" s="0" t="n">
        <v>462</v>
      </c>
      <c r="R11" s="0" t="n">
        <v>6200000</v>
      </c>
      <c r="S11" s="0" t="n">
        <v>3</v>
      </c>
      <c r="T11" s="0" t="s">
        <v>75</v>
      </c>
      <c r="U11" s="0" t="s">
        <v>123</v>
      </c>
      <c r="V11" s="0" t="n">
        <v>11</v>
      </c>
    </row>
    <row r="12" customFormat="false" ht="12.8" hidden="false" customHeight="false" outlineLevel="0" collapsed="false">
      <c r="A12" s="0" t="n">
        <v>11</v>
      </c>
      <c r="B12" s="5" t="n">
        <v>46174</v>
      </c>
      <c r="C12" s="5" t="n">
        <v>46176</v>
      </c>
      <c r="D12" s="5" t="n">
        <v>46183</v>
      </c>
      <c r="E12" s="6" t="s">
        <v>132</v>
      </c>
      <c r="F12" s="0" t="s">
        <v>133</v>
      </c>
      <c r="G12" s="5" t="n">
        <v>32338</v>
      </c>
      <c r="H12" s="0" t="s">
        <v>108</v>
      </c>
      <c r="I12" s="0" t="s">
        <v>117</v>
      </c>
      <c r="J12" s="0" t="n">
        <v>100000</v>
      </c>
      <c r="K12" s="0" t="s">
        <v>118</v>
      </c>
      <c r="L12" s="0" t="n">
        <v>1.8</v>
      </c>
      <c r="M12" s="0" t="n">
        <v>94</v>
      </c>
      <c r="N12" s="5" t="n">
        <v>46023</v>
      </c>
      <c r="O12" s="0" t="n">
        <v>7</v>
      </c>
      <c r="P12" s="0" t="n">
        <v>29</v>
      </c>
      <c r="Q12" s="0" t="n">
        <v>365.4</v>
      </c>
      <c r="R12" s="0" t="n">
        <v>9400000</v>
      </c>
      <c r="S12" s="0" t="n">
        <v>1</v>
      </c>
      <c r="T12" s="0" t="s">
        <v>73</v>
      </c>
      <c r="U12" s="0" t="s">
        <v>111</v>
      </c>
      <c r="V12" s="0" t="n">
        <v>9</v>
      </c>
    </row>
    <row r="13" customFormat="false" ht="12.8" hidden="false" customHeight="false" outlineLevel="0" collapsed="false">
      <c r="A13" s="0" t="n">
        <v>12</v>
      </c>
      <c r="B13" s="5" t="n">
        <v>46218</v>
      </c>
      <c r="C13" s="5" t="n">
        <v>46220</v>
      </c>
      <c r="D13" s="5" t="n">
        <v>46230</v>
      </c>
      <c r="E13" s="6" t="s">
        <v>126</v>
      </c>
      <c r="F13" s="0" t="s">
        <v>127</v>
      </c>
      <c r="G13" s="5" t="n">
        <v>31088</v>
      </c>
      <c r="H13" s="0" t="s">
        <v>108</v>
      </c>
      <c r="I13" s="0" t="s">
        <v>109</v>
      </c>
      <c r="J13" s="0" t="n">
        <v>30000</v>
      </c>
      <c r="K13" s="0" t="s">
        <v>110</v>
      </c>
      <c r="L13" s="0" t="n">
        <v>1.2</v>
      </c>
      <c r="M13" s="0" t="n">
        <v>102</v>
      </c>
      <c r="N13" s="5" t="n">
        <v>46023</v>
      </c>
      <c r="O13" s="0" t="n">
        <v>10</v>
      </c>
      <c r="P13" s="0" t="n">
        <v>19</v>
      </c>
      <c r="Q13" s="0" t="n">
        <v>228</v>
      </c>
      <c r="R13" s="0" t="n">
        <v>3060000</v>
      </c>
      <c r="S13" s="0" t="n">
        <v>2</v>
      </c>
      <c r="T13" s="0" t="s">
        <v>74</v>
      </c>
      <c r="U13" s="0" t="s">
        <v>113</v>
      </c>
      <c r="V13" s="0" t="n">
        <v>10</v>
      </c>
    </row>
    <row r="14" customFormat="false" ht="12.8" hidden="false" customHeight="false" outlineLevel="0" collapsed="false">
      <c r="A14" s="0" t="n">
        <v>13</v>
      </c>
      <c r="B14" s="5" t="n">
        <v>46239</v>
      </c>
      <c r="C14" s="5" t="n">
        <v>46241</v>
      </c>
      <c r="D14" s="5" t="n">
        <v>46248</v>
      </c>
      <c r="E14" s="6" t="s">
        <v>114</v>
      </c>
      <c r="F14" s="0" t="s">
        <v>115</v>
      </c>
      <c r="G14" s="5" t="n">
        <v>34567</v>
      </c>
      <c r="H14" s="0" t="s">
        <v>116</v>
      </c>
      <c r="I14" s="0" t="s">
        <v>112</v>
      </c>
      <c r="J14" s="0" t="n">
        <v>50000</v>
      </c>
      <c r="K14" s="0" t="s">
        <v>110</v>
      </c>
      <c r="L14" s="0" t="n">
        <v>1.3</v>
      </c>
      <c r="M14" s="0" t="n">
        <v>102</v>
      </c>
      <c r="N14" s="5" t="n">
        <v>46023</v>
      </c>
      <c r="O14" s="0" t="n">
        <v>7</v>
      </c>
      <c r="P14" s="0" t="n">
        <v>18</v>
      </c>
      <c r="Q14" s="0" t="n">
        <v>163.8</v>
      </c>
      <c r="R14" s="0" t="n">
        <v>5100000</v>
      </c>
      <c r="S14" s="0" t="n">
        <v>3</v>
      </c>
      <c r="T14" s="0" t="s">
        <v>75</v>
      </c>
      <c r="U14" s="0" t="s">
        <v>123</v>
      </c>
      <c r="V14" s="0" t="n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2026-10-18T21:45:22Z</dcterms:created>
  <dc:creator>openpyxl</dc:creator>
  <dc:description/>
  <dc:language>en-US</dc:language>
  <cp:lastModifiedBy/>
  <dcterms:modified xsi:type="dcterms:W3CDTF">2026-10-18T21:46:16Z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